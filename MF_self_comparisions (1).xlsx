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>
    <definedName hidden="1" localSheetId="0" name="_xlnm._FilterDatabase">Sheet2!$I$1:$R$27</definedName>
  </definedNames>
  <calcPr/>
  <extLst>
    <ext uri="GoogleSheetsCustomDataVersion1">
      <go:sheetsCustomData xmlns:go="http://customooxmlschemas.google.com/" r:id="rId6" roundtripDataSignature="AMtx7mi5oLNG4vIMI/mKMmjHkZn/dhglhg=="/>
    </ext>
  </extLst>
</workbook>
</file>

<file path=xl/sharedStrings.xml><?xml version="1.0" encoding="utf-8"?>
<sst xmlns="http://schemas.openxmlformats.org/spreadsheetml/2006/main" count="80" uniqueCount="48">
  <si>
    <t>MARS</t>
  </si>
  <si>
    <t>Todays Date</t>
  </si>
  <si>
    <t>Rating</t>
  </si>
  <si>
    <t>Giant</t>
  </si>
  <si>
    <t>Large Cap</t>
  </si>
  <si>
    <t>Mid Cap</t>
  </si>
  <si>
    <t>Small cap</t>
  </si>
  <si>
    <t>Exp
Ration</t>
  </si>
  <si>
    <t>Sr. No.</t>
  </si>
  <si>
    <t>ROI</t>
  </si>
  <si>
    <t>From</t>
  </si>
  <si>
    <t>Date</t>
  </si>
  <si>
    <t>IA</t>
  </si>
  <si>
    <t>Org NAV</t>
  </si>
  <si>
    <t>UNITS</t>
  </si>
  <si>
    <t>Cur NAV</t>
  </si>
  <si>
    <t>CV</t>
  </si>
  <si>
    <t>%</t>
  </si>
  <si>
    <t>Aditya Birla Sun Life Small Cap Fund</t>
  </si>
  <si>
    <t>10 Yrs</t>
  </si>
  <si>
    <t>ICICI Prudential India Opportunities Fund - Gr</t>
  </si>
  <si>
    <t>Parag Parikh Flexi Cap Fund - Reg Gr</t>
  </si>
  <si>
    <t>ICICI Prudential Manufacturing Fund - Gr</t>
  </si>
  <si>
    <t>ICICI Prudential Multicap Fund - Gr</t>
  </si>
  <si>
    <t>Canara Robeco Bluechip Equity Fund - Gr</t>
  </si>
  <si>
    <t>Axis Bluechip Fund - Gr</t>
  </si>
  <si>
    <t xml:space="preserve">HDFC Small Cap Fund </t>
  </si>
  <si>
    <t xml:space="preserve">L&amp;T Midcap Fund </t>
  </si>
  <si>
    <t>2020 &amp; 21</t>
  </si>
  <si>
    <t>Nippon India Growth Fund - Gr</t>
  </si>
  <si>
    <t>Invesco India Midcap Fund - Gr</t>
  </si>
  <si>
    <t>Kotak Emerging Equity Fund - Gr</t>
  </si>
  <si>
    <t>10 yrs</t>
  </si>
  <si>
    <t>Axis MidCap Fund - Gr</t>
  </si>
  <si>
    <t>DSP Midcap Fund - Reg Gr</t>
  </si>
  <si>
    <t>Axis Long Term Equity Fund - Gr</t>
  </si>
  <si>
    <t>Canara Robeco Flexi Cap Fund - Gr</t>
  </si>
  <si>
    <t>Fund</t>
  </si>
  <si>
    <t>Time</t>
  </si>
  <si>
    <t>inv</t>
  </si>
  <si>
    <t>cur</t>
  </si>
  <si>
    <t xml:space="preserve">Aditya Birla Sun Life Small Cap Fund </t>
  </si>
  <si>
    <t>NA</t>
  </si>
  <si>
    <t xml:space="preserve">Kotak Emerging Equity Fund </t>
  </si>
  <si>
    <t xml:space="preserve">Nippon India Growth Fund </t>
  </si>
  <si>
    <t xml:space="preserve">Axis MidCap Fund </t>
  </si>
  <si>
    <t xml:space="preserve">DSP Midcap Fund </t>
  </si>
  <si>
    <t xml:space="preserve">Invesco India Midcap Fund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</si>
</sst>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8.0"/>
      <color rgb="FF000000"/>
      <name val="Times New Roman"/>
    </font>
    <font>
      <b/>
      <sz val="9.0"/>
      <color rgb="FF000000"/>
      <name val="Calibri"/>
    </font>
    <font>
      <sz val="9.0"/>
      <color theme="1"/>
      <name val="Cambria"/>
    </font>
    <font>
      <sz val="11.0"/>
      <color theme="1"/>
      <name val="Calibri"/>
    </font>
    <font>
      <b/>
      <sz val="11.0"/>
      <color theme="1"/>
      <name val="Calibri"/>
    </font>
    <font>
      <sz val="8.0"/>
      <color rgb="FF222222"/>
      <name val="Arial"/>
    </font>
    <font>
      <b/>
      <sz val="8.0"/>
      <color rgb="FF222222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shrinkToFit="0" wrapText="1"/>
    </xf>
    <xf borderId="1" fillId="3" fontId="2" numFmtId="15" xfId="0" applyAlignment="1" applyBorder="1" applyFont="1" applyNumberFormat="1">
      <alignment shrinkToFit="0" wrapText="1"/>
    </xf>
    <xf borderId="1" fillId="3" fontId="2" numFmtId="0" xfId="0" applyAlignment="1" applyBorder="1" applyFont="1">
      <alignment readingOrder="0" shrinkToFit="0" wrapText="1"/>
    </xf>
    <xf borderId="1" fillId="3" fontId="2" numFmtId="10" xfId="0" applyAlignment="1" applyBorder="1" applyFont="1" applyNumberFormat="1">
      <alignment shrinkToFit="0" wrapText="1"/>
    </xf>
    <xf borderId="1" fillId="3" fontId="2" numFmtId="2" xfId="0" applyAlignment="1" applyBorder="1" applyFont="1" applyNumberFormat="1">
      <alignment shrinkToFit="0" wrapText="1"/>
    </xf>
    <xf borderId="1" fillId="4" fontId="2" numFmtId="0" xfId="0" applyAlignment="1" applyBorder="1" applyFill="1" applyFont="1">
      <alignment readingOrder="0" shrinkToFit="0" wrapText="1"/>
    </xf>
    <xf borderId="1" fillId="4" fontId="2" numFmtId="0" xfId="0" applyAlignment="1" applyBorder="1" applyFont="1">
      <alignment shrinkToFit="0" wrapText="1"/>
    </xf>
    <xf borderId="1" fillId="4" fontId="2" numFmtId="10" xfId="0" applyAlignment="1" applyBorder="1" applyFont="1" applyNumberFormat="1">
      <alignment shrinkToFit="0" wrapText="1"/>
    </xf>
    <xf borderId="1" fillId="3" fontId="2" numFmtId="15" xfId="0" applyAlignment="1" applyBorder="1" applyFont="1" applyNumberFormat="1">
      <alignment horizontal="left" shrinkToFit="0" wrapText="1"/>
    </xf>
    <xf borderId="0" fillId="0" fontId="3" numFmtId="0" xfId="0" applyFont="1"/>
    <xf borderId="1" fillId="3" fontId="4" numFmtId="0" xfId="0" applyBorder="1" applyFont="1"/>
    <xf borderId="0" fillId="0" fontId="4" numFmtId="0" xfId="0" applyAlignment="1" applyFont="1">
      <alignment horizontal="left"/>
    </xf>
    <xf borderId="0" fillId="0" fontId="4" numFmtId="10" xfId="0" applyAlignment="1" applyFont="1" applyNumberFormat="1">
      <alignment horizontal="left"/>
    </xf>
    <xf borderId="0" fillId="0" fontId="4" numFmtId="10" xfId="0" applyFont="1" applyNumberFormat="1"/>
    <xf borderId="2" fillId="4" fontId="5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4" numFmtId="0" xfId="0" applyBorder="1" applyFont="1"/>
    <xf borderId="7" fillId="0" fontId="4" numFmtId="0" xfId="0" applyBorder="1" applyFont="1"/>
    <xf borderId="1" fillId="5" fontId="4" numFmtId="0" xfId="0" applyBorder="1" applyFill="1" applyFont="1"/>
    <xf borderId="8" fillId="0" fontId="4" numFmtId="0" xfId="0" applyBorder="1" applyFont="1"/>
    <xf borderId="9" fillId="6" fontId="4" numFmtId="0" xfId="0" applyBorder="1" applyFill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6" numFmtId="14" xfId="0" applyFont="1" applyNumberForma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4" fillId="0" fontId="7" numFmtId="0" xfId="0" applyBorder="1" applyFont="1"/>
    <xf borderId="1" fillId="0" fontId="7" numFmtId="0" xfId="0" applyBorder="1" applyFont="1"/>
    <xf borderId="9" fillId="0" fontId="7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9.14"/>
    <col customWidth="1" min="3" max="3" width="5.57"/>
    <col customWidth="1" min="4" max="4" width="10.29"/>
    <col customWidth="1" min="5" max="5" width="8.14"/>
    <col customWidth="1" min="6" max="6" width="7.0"/>
    <col customWidth="1" min="7" max="7" width="7.57"/>
    <col customWidth="1" min="8" max="8" width="5.57"/>
    <col customWidth="1" min="9" max="9" width="33.29"/>
    <col customWidth="1" min="10" max="10" width="6.86"/>
    <col customWidth="1" min="11" max="11" width="8.71"/>
    <col customWidth="1" min="12" max="12" width="7.0"/>
    <col customWidth="1" min="13" max="13" width="7.71"/>
    <col customWidth="1" min="14" max="14" width="8.57"/>
    <col customWidth="1" min="15" max="15" width="7.71"/>
    <col customWidth="1" min="16" max="16" width="8.57"/>
    <col customWidth="1" min="17" max="17" width="7.71"/>
    <col customWidth="1" min="18" max="18" width="5.57"/>
    <col customWidth="1" min="19" max="31" width="2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/>
      <c r="B2" s="4">
        <v>44587.0</v>
      </c>
      <c r="C2" s="5">
        <v>1.0</v>
      </c>
      <c r="D2" s="5">
        <v>0.0</v>
      </c>
      <c r="E2" s="5">
        <v>0.0</v>
      </c>
      <c r="F2" s="5">
        <v>47.0</v>
      </c>
      <c r="G2" s="5">
        <v>50.0</v>
      </c>
      <c r="H2" s="3"/>
      <c r="I2" s="3" t="s">
        <v>18</v>
      </c>
      <c r="J2" s="6">
        <v>0.1762</v>
      </c>
      <c r="K2" s="6" t="s">
        <v>19</v>
      </c>
      <c r="L2" s="3"/>
      <c r="M2" s="3"/>
      <c r="N2" s="3"/>
      <c r="O2" s="3"/>
      <c r="P2" s="3"/>
      <c r="Q2" s="3"/>
      <c r="R2" s="7">
        <v>46.0</v>
      </c>
    </row>
    <row r="3">
      <c r="A3" s="3"/>
      <c r="B3" s="4">
        <v>44587.0</v>
      </c>
      <c r="C3" s="4"/>
      <c r="D3" s="8">
        <v>43.0</v>
      </c>
      <c r="E3" s="8">
        <v>24.0</v>
      </c>
      <c r="F3" s="8">
        <v>21.0</v>
      </c>
      <c r="G3" s="8">
        <v>9.0</v>
      </c>
      <c r="H3" s="9"/>
      <c r="I3" s="9" t="s">
        <v>20</v>
      </c>
      <c r="J3" s="10">
        <v>0.2351</v>
      </c>
      <c r="K3" s="11">
        <v>43480.0</v>
      </c>
      <c r="L3" s="3">
        <v>44236.0</v>
      </c>
      <c r="M3" s="3">
        <v>4999.75</v>
      </c>
      <c r="N3" s="3">
        <v>12.71</v>
      </c>
      <c r="O3" s="3">
        <v>393.371</v>
      </c>
      <c r="P3" s="3">
        <v>17.58</v>
      </c>
      <c r="Q3" s="3">
        <v>6915.46</v>
      </c>
      <c r="R3" s="7">
        <f t="shared" ref="R3:R8" si="1">(Q3/M3)*100 - 100</f>
        <v>38.31611581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3"/>
      <c r="B4" s="4">
        <v>44587.0</v>
      </c>
      <c r="C4" s="4"/>
      <c r="D4" s="8">
        <v>70.0</v>
      </c>
      <c r="E4" s="8">
        <v>16.0</v>
      </c>
      <c r="F4" s="8">
        <v>10.0</v>
      </c>
      <c r="G4" s="8">
        <v>2.0</v>
      </c>
      <c r="H4" s="9"/>
      <c r="I4" s="9" t="s">
        <v>21</v>
      </c>
      <c r="J4" s="10">
        <v>0.2066</v>
      </c>
      <c r="K4" s="4">
        <v>41418.0</v>
      </c>
      <c r="L4" s="3">
        <v>44228.0</v>
      </c>
      <c r="M4" s="3">
        <v>84740.87</v>
      </c>
      <c r="N4" s="3">
        <v>35.9856</v>
      </c>
      <c r="O4" s="3">
        <v>2354.855</v>
      </c>
      <c r="P4" s="3">
        <v>49.4092</v>
      </c>
      <c r="Q4" s="3">
        <v>116351.5</v>
      </c>
      <c r="R4" s="7">
        <f t="shared" si="1"/>
        <v>37.30269703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3"/>
      <c r="B5" s="4">
        <v>44587.0</v>
      </c>
      <c r="C5" s="4"/>
      <c r="D5" s="8">
        <v>23.0</v>
      </c>
      <c r="E5" s="8">
        <v>32.0</v>
      </c>
      <c r="F5" s="8">
        <v>37.0</v>
      </c>
      <c r="G5" s="8">
        <v>6.0</v>
      </c>
      <c r="H5" s="8">
        <v>2.7</v>
      </c>
      <c r="I5" s="9" t="s">
        <v>22</v>
      </c>
      <c r="J5" s="10">
        <v>0.1954</v>
      </c>
      <c r="K5" s="4">
        <v>43384.0</v>
      </c>
      <c r="L5" s="3">
        <v>44236.0</v>
      </c>
      <c r="M5" s="3">
        <v>4999.75</v>
      </c>
      <c r="N5" s="3">
        <v>13.28</v>
      </c>
      <c r="O5" s="3">
        <v>376.487</v>
      </c>
      <c r="P5" s="3"/>
      <c r="Q5" s="3">
        <v>6351.34</v>
      </c>
      <c r="R5" s="7">
        <f t="shared" si="1"/>
        <v>27.03315166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3"/>
      <c r="B6" s="4">
        <v>44587.0</v>
      </c>
      <c r="C6" s="4"/>
      <c r="D6" s="5">
        <v>35.0</v>
      </c>
      <c r="E6" s="5">
        <v>7.0</v>
      </c>
      <c r="F6" s="5">
        <v>39.0</v>
      </c>
      <c r="G6" s="5">
        <v>17.0</v>
      </c>
      <c r="H6" s="5">
        <v>2.03</v>
      </c>
      <c r="I6" s="3" t="s">
        <v>23</v>
      </c>
      <c r="J6" s="6">
        <v>0.1575</v>
      </c>
      <c r="K6" s="3" t="s">
        <v>19</v>
      </c>
      <c r="L6" s="3">
        <v>44236.0</v>
      </c>
      <c r="M6" s="3">
        <v>4999.75</v>
      </c>
      <c r="N6" s="3">
        <v>361.855</v>
      </c>
      <c r="O6" s="3">
        <v>13.817</v>
      </c>
      <c r="P6" s="3">
        <v>441.95</v>
      </c>
      <c r="Q6" s="3">
        <v>6106.42</v>
      </c>
      <c r="R6" s="7">
        <f t="shared" si="1"/>
        <v>22.13450673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ht="13.5" customHeight="1">
      <c r="A7" s="3"/>
      <c r="B7" s="4">
        <v>44587.0</v>
      </c>
      <c r="C7" s="4"/>
      <c r="D7" s="5">
        <v>79.86</v>
      </c>
      <c r="E7" s="5">
        <v>13.0</v>
      </c>
      <c r="F7" s="5">
        <v>6.5</v>
      </c>
      <c r="G7" s="5">
        <v>0.0</v>
      </c>
      <c r="H7" s="5">
        <v>1.87</v>
      </c>
      <c r="I7" s="3" t="s">
        <v>24</v>
      </c>
      <c r="J7" s="6">
        <v>0.1504</v>
      </c>
      <c r="K7" s="3" t="s">
        <v>19</v>
      </c>
      <c r="L7" s="3">
        <v>44228.0</v>
      </c>
      <c r="M7" s="3">
        <v>82477.6</v>
      </c>
      <c r="N7" s="3">
        <v>34.14</v>
      </c>
      <c r="O7" s="3">
        <v>2415.864</v>
      </c>
      <c r="P7" s="3">
        <v>41.21</v>
      </c>
      <c r="Q7" s="3">
        <v>99557.76</v>
      </c>
      <c r="R7" s="7">
        <f t="shared" si="1"/>
        <v>20.70884701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3"/>
      <c r="B8" s="4">
        <v>44587.0</v>
      </c>
      <c r="C8" s="4"/>
      <c r="D8" s="5">
        <v>85.0</v>
      </c>
      <c r="E8" s="5">
        <v>14.0</v>
      </c>
      <c r="F8" s="5">
        <v>0.25</v>
      </c>
      <c r="G8" s="5">
        <v>0.0</v>
      </c>
      <c r="H8" s="5">
        <v>1.7</v>
      </c>
      <c r="I8" s="3" t="s">
        <v>25</v>
      </c>
      <c r="J8" s="6">
        <v>0.1603</v>
      </c>
      <c r="K8" s="3" t="s">
        <v>19</v>
      </c>
      <c r="L8" s="3">
        <v>44228.0</v>
      </c>
      <c r="M8" s="3">
        <v>10015.5</v>
      </c>
      <c r="N8" s="3">
        <v>38.0399</v>
      </c>
      <c r="O8" s="3">
        <v>263.289</v>
      </c>
      <c r="P8" s="3">
        <v>44.89</v>
      </c>
      <c r="Q8" s="3">
        <v>11819.04</v>
      </c>
      <c r="R8" s="7">
        <f t="shared" si="1"/>
        <v>18.00748839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3"/>
      <c r="B9" s="4">
        <v>44587.0</v>
      </c>
      <c r="C9" s="4"/>
      <c r="D9" s="8">
        <v>0.0</v>
      </c>
      <c r="E9" s="8">
        <v>2.3</v>
      </c>
      <c r="F9" s="8">
        <v>35.3</v>
      </c>
      <c r="G9" s="8">
        <v>62.0</v>
      </c>
      <c r="H9" s="8">
        <v>1.9</v>
      </c>
      <c r="I9" s="9" t="s">
        <v>26</v>
      </c>
      <c r="J9" s="10">
        <v>0.1908</v>
      </c>
      <c r="K9" s="3" t="s">
        <v>19</v>
      </c>
      <c r="L9" s="3"/>
      <c r="M9" s="3"/>
      <c r="N9" s="3"/>
      <c r="O9" s="3"/>
      <c r="P9" s="3"/>
      <c r="Q9" s="3"/>
      <c r="R9" s="7">
        <v>58.0</v>
      </c>
    </row>
    <row r="10">
      <c r="A10" s="3"/>
      <c r="B10" s="4">
        <v>44587.0</v>
      </c>
      <c r="C10" s="4"/>
      <c r="D10" s="8"/>
      <c r="E10" s="8">
        <v>14.2</v>
      </c>
      <c r="F10" s="8">
        <v>78.8</v>
      </c>
      <c r="G10" s="8">
        <v>7.0</v>
      </c>
      <c r="H10" s="8">
        <v>1.9</v>
      </c>
      <c r="I10" s="9" t="s">
        <v>27</v>
      </c>
      <c r="J10" s="10">
        <v>0.1916</v>
      </c>
      <c r="K10" s="3" t="s">
        <v>19</v>
      </c>
      <c r="L10" s="3"/>
      <c r="M10" s="3"/>
      <c r="N10" s="3"/>
      <c r="O10" s="3"/>
      <c r="P10" s="3"/>
      <c r="Q10" s="3"/>
      <c r="R10" s="7">
        <v>25.0</v>
      </c>
    </row>
    <row r="11">
      <c r="A11" s="3" t="s">
        <v>28</v>
      </c>
      <c r="B11" s="4">
        <v>44587.0</v>
      </c>
      <c r="C11" s="4"/>
      <c r="D11" s="5">
        <v>6.0</v>
      </c>
      <c r="E11" s="5">
        <v>11.0</v>
      </c>
      <c r="F11" s="5">
        <v>76.0</v>
      </c>
      <c r="G11" s="5">
        <v>5.0</v>
      </c>
      <c r="H11" s="5">
        <v>1.9</v>
      </c>
      <c r="I11" s="3" t="s">
        <v>29</v>
      </c>
      <c r="J11" s="6">
        <v>0.1762</v>
      </c>
      <c r="K11" s="4">
        <v>41276.0</v>
      </c>
      <c r="L11" s="3">
        <v>44368.0</v>
      </c>
      <c r="M11" s="3">
        <v>23998.8</v>
      </c>
      <c r="N11" s="3">
        <v>1950.8047</v>
      </c>
      <c r="O11" s="3">
        <v>12.302</v>
      </c>
      <c r="P11" s="3">
        <v>2022.7339</v>
      </c>
      <c r="Q11" s="3">
        <v>24883.67</v>
      </c>
      <c r="R11" s="7">
        <f t="shared" ref="R11:R15" si="2">(Q11/M11)*100 - 100</f>
        <v>3.68714269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A12" s="3" t="s">
        <v>28</v>
      </c>
      <c r="B12" s="4">
        <v>44587.0</v>
      </c>
      <c r="C12" s="4"/>
      <c r="D12" s="5">
        <v>5.0</v>
      </c>
      <c r="E12" s="5">
        <v>16.0</v>
      </c>
      <c r="F12" s="5">
        <v>67.0</v>
      </c>
      <c r="G12" s="5">
        <v>9.0</v>
      </c>
      <c r="H12" s="5">
        <v>2.26</v>
      </c>
      <c r="I12" s="3" t="s">
        <v>30</v>
      </c>
      <c r="J12" s="6">
        <v>0.2037</v>
      </c>
      <c r="K12" s="3" t="s">
        <v>19</v>
      </c>
      <c r="L12" s="3">
        <v>44368.0</v>
      </c>
      <c r="M12" s="3">
        <v>23998.8</v>
      </c>
      <c r="N12" s="3">
        <v>83.6096</v>
      </c>
      <c r="O12" s="3">
        <v>287.034</v>
      </c>
      <c r="P12" s="3">
        <v>86.64</v>
      </c>
      <c r="Q12" s="3">
        <v>24868.63</v>
      </c>
      <c r="R12" s="7">
        <f t="shared" si="2"/>
        <v>3.62447289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3" t="s">
        <v>28</v>
      </c>
      <c r="B13" s="4">
        <v>44587.0</v>
      </c>
      <c r="C13" s="4"/>
      <c r="D13" s="5">
        <v>4.0</v>
      </c>
      <c r="E13" s="5">
        <v>10.0</v>
      </c>
      <c r="F13" s="5">
        <v>81.0</v>
      </c>
      <c r="G13" s="5">
        <v>4.0</v>
      </c>
      <c r="H13" s="5">
        <v>1.76</v>
      </c>
      <c r="I13" s="3" t="s">
        <v>31</v>
      </c>
      <c r="J13" s="6">
        <v>0.2117</v>
      </c>
      <c r="K13" s="3" t="s">
        <v>32</v>
      </c>
      <c r="L13" s="3">
        <v>44368.0</v>
      </c>
      <c r="M13" s="3">
        <v>23998.8</v>
      </c>
      <c r="N13" s="3">
        <v>68.9335</v>
      </c>
      <c r="O13" s="3">
        <v>348.144</v>
      </c>
      <c r="P13" s="3">
        <v>71.062</v>
      </c>
      <c r="Q13" s="3">
        <v>24739.81</v>
      </c>
      <c r="R13" s="7">
        <f t="shared" si="2"/>
        <v>3.087696051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3" t="s">
        <v>28</v>
      </c>
      <c r="B14" s="4">
        <v>44587.0</v>
      </c>
      <c r="C14" s="4"/>
      <c r="D14" s="5">
        <v>14.0</v>
      </c>
      <c r="E14" s="5">
        <v>19.0</v>
      </c>
      <c r="F14" s="5">
        <v>65.0</v>
      </c>
      <c r="G14" s="5">
        <v>1.0</v>
      </c>
      <c r="H14" s="5">
        <v>1.78</v>
      </c>
      <c r="I14" s="3" t="s">
        <v>33</v>
      </c>
      <c r="J14" s="6">
        <v>0.2122</v>
      </c>
      <c r="K14" s="3"/>
      <c r="L14" s="3">
        <v>44368.0</v>
      </c>
      <c r="M14" s="3">
        <v>23998.8</v>
      </c>
      <c r="N14" s="3">
        <v>66.5113</v>
      </c>
      <c r="O14" s="3">
        <v>360.823</v>
      </c>
      <c r="P14" s="3">
        <v>67.36</v>
      </c>
      <c r="Q14" s="3">
        <v>24305.04</v>
      </c>
      <c r="R14" s="7">
        <f t="shared" si="2"/>
        <v>1.276063803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3" t="s">
        <v>28</v>
      </c>
      <c r="B15" s="4">
        <v>44587.0</v>
      </c>
      <c r="C15" s="4"/>
      <c r="D15" s="5">
        <v>3.0</v>
      </c>
      <c r="E15" s="5">
        <v>8.0</v>
      </c>
      <c r="F15" s="5">
        <v>79.0</v>
      </c>
      <c r="G15" s="5">
        <v>8.0</v>
      </c>
      <c r="H15" s="5">
        <v>1.79</v>
      </c>
      <c r="I15" s="3" t="s">
        <v>34</v>
      </c>
      <c r="J15" s="6">
        <v>0.1881</v>
      </c>
      <c r="K15" s="4">
        <v>41275.0</v>
      </c>
      <c r="L15" s="3">
        <v>44368.0</v>
      </c>
      <c r="M15" s="3">
        <v>23998.8</v>
      </c>
      <c r="N15" s="3">
        <v>89.4596</v>
      </c>
      <c r="O15" s="3">
        <v>268.264</v>
      </c>
      <c r="P15" s="3">
        <v>89.933</v>
      </c>
      <c r="Q15" s="3">
        <v>24125.79</v>
      </c>
      <c r="R15" s="7">
        <f t="shared" si="2"/>
        <v>0.5291514576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3"/>
      <c r="B16" s="13"/>
      <c r="C16" s="13"/>
      <c r="D16" s="5">
        <v>55.0</v>
      </c>
      <c r="E16" s="5">
        <v>27.0</v>
      </c>
      <c r="F16" s="5">
        <v>15.0</v>
      </c>
      <c r="G16" s="5">
        <v>1.0</v>
      </c>
      <c r="H16" s="5">
        <v>1.67</v>
      </c>
      <c r="I16" s="3" t="s">
        <v>35</v>
      </c>
      <c r="J16" s="6">
        <v>0.1758</v>
      </c>
      <c r="K16" s="6" t="s">
        <v>19</v>
      </c>
      <c r="L16" s="13"/>
      <c r="M16" s="13"/>
      <c r="N16" s="13"/>
      <c r="O16" s="13"/>
      <c r="P16" s="13"/>
      <c r="Q16" s="13"/>
      <c r="R16" s="13"/>
    </row>
    <row r="17">
      <c r="A17" s="13"/>
      <c r="B17" s="13"/>
      <c r="C17" s="13"/>
      <c r="D17" s="5">
        <v>66.0</v>
      </c>
      <c r="E17" s="5">
        <v>9.0</v>
      </c>
      <c r="F17" s="5">
        <v>21.0</v>
      </c>
      <c r="G17" s="5">
        <v>2.0</v>
      </c>
      <c r="H17" s="5">
        <v>1.91</v>
      </c>
      <c r="I17" s="3" t="s">
        <v>36</v>
      </c>
      <c r="J17" s="6">
        <v>0.1565</v>
      </c>
      <c r="K17" s="6" t="s">
        <v>19</v>
      </c>
      <c r="L17" s="13"/>
      <c r="M17" s="13"/>
      <c r="N17" s="13"/>
      <c r="O17" s="13"/>
      <c r="P17" s="13"/>
      <c r="Q17" s="13"/>
      <c r="R17" s="13"/>
    </row>
    <row r="18">
      <c r="D18" s="14">
        <f t="shared" ref="D18:G18" si="3">SUM(D2:D17)</f>
        <v>488.86</v>
      </c>
      <c r="E18" s="14">
        <f t="shared" si="3"/>
        <v>222.5</v>
      </c>
      <c r="F18" s="14">
        <f t="shared" si="3"/>
        <v>678.85</v>
      </c>
      <c r="G18" s="14">
        <f t="shared" si="3"/>
        <v>183</v>
      </c>
      <c r="H18" s="14"/>
      <c r="I18" s="14"/>
      <c r="J18" s="15"/>
      <c r="K18" s="14"/>
    </row>
    <row r="19">
      <c r="D19" s="16">
        <f t="shared" ref="D19:H19" si="4">D18/1600</f>
        <v>0.3055375</v>
      </c>
      <c r="E19" s="16">
        <f t="shared" si="4"/>
        <v>0.1390625</v>
      </c>
      <c r="F19" s="16">
        <f t="shared" si="4"/>
        <v>0.42428125</v>
      </c>
      <c r="G19" s="16">
        <f t="shared" si="4"/>
        <v>0.114375</v>
      </c>
      <c r="H19" s="16">
        <f t="shared" si="4"/>
        <v>0</v>
      </c>
      <c r="I19" s="16">
        <f>(J11+J12+J13+J14+J15)/5</f>
        <v>0.19838</v>
      </c>
    </row>
    <row r="20">
      <c r="D20" s="14"/>
      <c r="E20" s="14"/>
      <c r="F20" s="14"/>
      <c r="G20" s="14"/>
      <c r="H20" s="14"/>
      <c r="I20" s="14"/>
      <c r="J20" s="14"/>
      <c r="K20" s="14"/>
    </row>
    <row r="21" ht="15.75" customHeight="1">
      <c r="D21" s="14"/>
      <c r="E21" s="14"/>
      <c r="F21" s="14"/>
      <c r="G21" s="14"/>
      <c r="H21" s="14"/>
      <c r="I21" s="14"/>
      <c r="J21" s="14"/>
      <c r="K21" s="14"/>
    </row>
    <row r="22" ht="15.75" customHeight="1">
      <c r="D22" s="14"/>
      <c r="E22" s="14"/>
      <c r="F22" s="14"/>
      <c r="G22" s="14"/>
      <c r="H22" s="14"/>
      <c r="I22" s="14"/>
      <c r="J22" s="14"/>
      <c r="K22" s="14"/>
    </row>
    <row r="23" ht="15.75" customHeight="1">
      <c r="D23" s="14"/>
      <c r="E23" s="14"/>
      <c r="F23" s="14"/>
      <c r="G23" s="14"/>
      <c r="H23" s="14"/>
      <c r="I23" s="14"/>
      <c r="J23" s="14"/>
      <c r="K23" s="14"/>
    </row>
    <row r="24" ht="15.75" customHeight="1">
      <c r="D24" s="14"/>
      <c r="E24" s="14"/>
      <c r="F24" s="14"/>
      <c r="G24" s="14"/>
      <c r="H24" s="14"/>
      <c r="I24" s="14"/>
      <c r="J24" s="14"/>
      <c r="K24" s="14"/>
    </row>
    <row r="25" ht="15.75" customHeight="1">
      <c r="D25" s="14"/>
      <c r="E25" s="14"/>
      <c r="F25" s="14"/>
      <c r="G25" s="14"/>
      <c r="H25" s="14"/>
      <c r="I25" s="14"/>
      <c r="J25" s="14"/>
      <c r="K25" s="14"/>
    </row>
    <row r="26" ht="15.75" customHeight="1">
      <c r="D26" s="14"/>
      <c r="E26" s="14"/>
      <c r="F26" s="14"/>
      <c r="G26" s="14"/>
      <c r="H26" s="14"/>
      <c r="I26" s="14"/>
      <c r="J26" s="14"/>
      <c r="K26" s="14"/>
    </row>
    <row r="27" ht="15.75" customHeight="1">
      <c r="D27" s="14"/>
      <c r="E27" s="14"/>
      <c r="F27" s="14"/>
      <c r="G27" s="14"/>
      <c r="H27" s="14"/>
      <c r="I27" s="14"/>
      <c r="J27" s="14"/>
      <c r="K27" s="1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1:$R$27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86"/>
    <col customWidth="1" min="3" max="26" width="8.71"/>
  </cols>
  <sheetData>
    <row r="1">
      <c r="A1" s="17" t="s">
        <v>0</v>
      </c>
      <c r="B1" s="17" t="s">
        <v>37</v>
      </c>
      <c r="C1" s="17"/>
      <c r="D1" s="17" t="s">
        <v>38</v>
      </c>
      <c r="E1" s="17" t="s">
        <v>17</v>
      </c>
      <c r="F1" s="17" t="s">
        <v>39</v>
      </c>
      <c r="G1" s="17" t="s">
        <v>40</v>
      </c>
      <c r="H1" s="17"/>
      <c r="I1" s="17"/>
    </row>
    <row r="2">
      <c r="A2" s="18">
        <v>2019.0</v>
      </c>
      <c r="B2" s="19" t="s">
        <v>41</v>
      </c>
      <c r="C2" s="19" t="s">
        <v>42</v>
      </c>
      <c r="D2" s="19"/>
      <c r="E2" s="19"/>
      <c r="F2" s="19"/>
      <c r="G2" s="19"/>
      <c r="H2" s="19"/>
      <c r="I2" s="20"/>
    </row>
    <row r="3">
      <c r="A3" s="21">
        <v>2019.0</v>
      </c>
      <c r="B3" s="22" t="s">
        <v>26</v>
      </c>
      <c r="C3" s="22" t="s">
        <v>42</v>
      </c>
      <c r="D3" s="22"/>
      <c r="E3" s="22"/>
      <c r="F3" s="22"/>
      <c r="G3" s="22"/>
      <c r="H3" s="22"/>
      <c r="I3" s="23"/>
    </row>
    <row r="4">
      <c r="A4" s="21">
        <v>2019.0</v>
      </c>
      <c r="B4" s="24" t="s">
        <v>43</v>
      </c>
      <c r="C4" s="22"/>
      <c r="D4" s="22"/>
      <c r="E4" s="22"/>
      <c r="F4" s="22"/>
      <c r="G4" s="22"/>
      <c r="H4" s="22"/>
      <c r="I4" s="23"/>
    </row>
    <row r="5">
      <c r="A5" s="21">
        <v>2019.0</v>
      </c>
      <c r="B5" s="22" t="s">
        <v>27</v>
      </c>
      <c r="C5" s="22" t="s">
        <v>42</v>
      </c>
      <c r="D5" s="22"/>
      <c r="E5" s="22"/>
      <c r="F5" s="22"/>
      <c r="G5" s="22"/>
      <c r="H5" s="22"/>
      <c r="I5" s="23"/>
    </row>
    <row r="6">
      <c r="A6" s="25">
        <v>2019.0</v>
      </c>
      <c r="B6" s="26" t="s">
        <v>44</v>
      </c>
      <c r="C6" s="27"/>
      <c r="D6" s="27"/>
      <c r="E6" s="27"/>
      <c r="F6" s="27"/>
      <c r="G6" s="27"/>
      <c r="H6" s="27"/>
      <c r="I6" s="28"/>
    </row>
    <row r="7">
      <c r="A7" s="29" t="s">
        <v>28</v>
      </c>
      <c r="B7" s="30" t="s">
        <v>45</v>
      </c>
      <c r="C7" s="30">
        <v>2999.85</v>
      </c>
      <c r="D7" s="31">
        <v>44368.0</v>
      </c>
      <c r="E7" s="30"/>
      <c r="F7" s="30"/>
      <c r="G7" s="30"/>
      <c r="H7" s="30"/>
      <c r="I7" s="32"/>
    </row>
    <row r="8">
      <c r="A8" s="21" t="s">
        <v>28</v>
      </c>
      <c r="B8" s="22" t="s">
        <v>46</v>
      </c>
      <c r="C8" s="22">
        <v>2999.85</v>
      </c>
      <c r="D8" s="22"/>
      <c r="E8" s="22"/>
      <c r="F8" s="22"/>
      <c r="G8" s="22"/>
      <c r="H8" s="22"/>
      <c r="I8" s="23"/>
    </row>
    <row r="9">
      <c r="A9" s="21" t="s">
        <v>28</v>
      </c>
      <c r="B9" s="22" t="s">
        <v>47</v>
      </c>
      <c r="C9" s="22">
        <v>2999.85</v>
      </c>
      <c r="D9" s="22"/>
      <c r="E9" s="22"/>
      <c r="F9" s="22"/>
      <c r="G9" s="22"/>
      <c r="H9" s="22"/>
      <c r="I9" s="23"/>
    </row>
    <row r="10">
      <c r="A10" s="21" t="s">
        <v>28</v>
      </c>
      <c r="B10" s="22" t="s">
        <v>43</v>
      </c>
      <c r="C10" s="22">
        <v>2999.85</v>
      </c>
      <c r="D10" s="22"/>
      <c r="E10" s="22"/>
      <c r="F10" s="22"/>
      <c r="G10" s="22"/>
      <c r="H10" s="22"/>
      <c r="I10" s="23"/>
    </row>
    <row r="11">
      <c r="A11" s="33" t="s">
        <v>28</v>
      </c>
      <c r="B11" s="34" t="s">
        <v>44</v>
      </c>
      <c r="C11" s="34">
        <v>2999.85</v>
      </c>
      <c r="D11" s="34"/>
      <c r="E11" s="34"/>
      <c r="F11" s="34"/>
      <c r="G11" s="34"/>
      <c r="H11" s="34"/>
      <c r="I11" s="35"/>
    </row>
    <row r="12">
      <c r="A12" s="18"/>
      <c r="B12" s="36" t="s">
        <v>20</v>
      </c>
      <c r="C12" s="19"/>
      <c r="D12" s="19"/>
      <c r="E12" s="19"/>
      <c r="F12" s="19"/>
      <c r="G12" s="19"/>
      <c r="H12" s="19"/>
      <c r="I12" s="20"/>
    </row>
    <row r="13">
      <c r="A13" s="21"/>
      <c r="B13" s="37" t="s">
        <v>24</v>
      </c>
      <c r="C13" s="22"/>
      <c r="D13" s="22"/>
      <c r="E13" s="22"/>
      <c r="F13" s="22"/>
      <c r="G13" s="22"/>
      <c r="H13" s="22"/>
      <c r="I13" s="23"/>
    </row>
    <row r="14">
      <c r="A14" s="21"/>
      <c r="B14" s="37" t="s">
        <v>20</v>
      </c>
      <c r="C14" s="22"/>
      <c r="D14" s="22"/>
      <c r="E14" s="22"/>
      <c r="F14" s="22"/>
      <c r="G14" s="22"/>
      <c r="H14" s="22"/>
      <c r="I14" s="23"/>
    </row>
    <row r="15">
      <c r="A15" s="21"/>
      <c r="B15" s="37" t="s">
        <v>22</v>
      </c>
      <c r="C15" s="22"/>
      <c r="D15" s="22"/>
      <c r="E15" s="22"/>
      <c r="F15" s="22"/>
      <c r="G15" s="22"/>
      <c r="H15" s="22"/>
      <c r="I15" s="23"/>
    </row>
    <row r="16">
      <c r="A16" s="21"/>
      <c r="B16" s="37" t="s">
        <v>23</v>
      </c>
      <c r="C16" s="22"/>
      <c r="D16" s="22"/>
      <c r="E16" s="22"/>
      <c r="F16" s="22"/>
      <c r="G16" s="22"/>
      <c r="H16" s="22"/>
      <c r="I16" s="23"/>
    </row>
    <row r="17">
      <c r="A17" s="25"/>
      <c r="B17" s="38" t="s">
        <v>21</v>
      </c>
      <c r="C17" s="27"/>
      <c r="D17" s="27"/>
      <c r="E17" s="27"/>
      <c r="F17" s="27"/>
      <c r="G17" s="27"/>
      <c r="H17" s="27"/>
      <c r="I17" s="28"/>
    </row>
    <row r="18">
      <c r="B18" s="39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2022-01-26T14:46:53Z</dcterms:created>
  <dc:creator>vinod</dc:creator>
</cp:coreProperties>
</file>